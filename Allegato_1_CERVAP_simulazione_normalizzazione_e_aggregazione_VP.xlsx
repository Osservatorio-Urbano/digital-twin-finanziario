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tente\Dropbox\CONTO TERZI\2025-comune-reggio-emilia\Per Report Progetto\"/>
    </mc:Choice>
  </mc:AlternateContent>
  <xr:revisionPtr revIDLastSave="0" documentId="13_ncr:1_{E695EFAD-3F1C-4CC8-A2E6-22EB1F240194}" xr6:coauthVersionLast="47" xr6:coauthVersionMax="47" xr10:uidLastSave="{00000000-0000-0000-0000-000000000000}"/>
  <bookViews>
    <workbookView xWindow="-110" yWindow="-110" windowWidth="19420" windowHeight="11500" tabRatio="784" xr2:uid="{D17E5B75-B992-426B-B43B-E3FCB5489793}"/>
  </bookViews>
  <sheets>
    <sheet name="IMPATTO" sheetId="1" r:id="rId1"/>
    <sheet name="PERFORMANCE" sheetId="2" r:id="rId2"/>
    <sheet name="SALUTE AMMINISTRATIVA" sheetId="4" r:id="rId3"/>
    <sheet name="VP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Q3" i="1"/>
  <c r="R3" i="1"/>
  <c r="O4" i="1"/>
  <c r="P4" i="1"/>
  <c r="Q4" i="1"/>
  <c r="R4" i="1"/>
  <c r="P2" i="1"/>
  <c r="Q2" i="1"/>
  <c r="R2" i="1"/>
  <c r="O2" i="1"/>
  <c r="P2" i="4"/>
  <c r="Q2" i="4"/>
  <c r="R2" i="4"/>
  <c r="S2" i="4"/>
  <c r="P3" i="4"/>
  <c r="Q3" i="4"/>
  <c r="R3" i="4"/>
  <c r="S3" i="4"/>
  <c r="P4" i="4"/>
  <c r="Q4" i="4"/>
  <c r="R4" i="4"/>
  <c r="S4" i="4"/>
  <c r="P5" i="4"/>
  <c r="Q5" i="4"/>
  <c r="R5" i="4"/>
  <c r="S5" i="4"/>
  <c r="D3" i="6"/>
  <c r="E3" i="6"/>
  <c r="F3" i="6"/>
  <c r="C3" i="6"/>
  <c r="J4" i="6" l="1"/>
  <c r="J3" i="6"/>
  <c r="H4" i="6"/>
  <c r="H3" i="6"/>
  <c r="H2" i="6"/>
  <c r="O14" i="2"/>
  <c r="P14" i="2"/>
  <c r="Q14" i="2"/>
  <c r="R14" i="2"/>
  <c r="O15" i="2"/>
  <c r="P15" i="2"/>
  <c r="Q15" i="2"/>
  <c r="R15" i="2"/>
  <c r="O16" i="2"/>
  <c r="P16" i="2"/>
  <c r="Q16" i="2"/>
  <c r="R16" i="2"/>
  <c r="O17" i="2"/>
  <c r="P17" i="2"/>
  <c r="Q17" i="2"/>
  <c r="R17" i="2"/>
  <c r="O18" i="2"/>
  <c r="P18" i="2"/>
  <c r="Q18" i="2"/>
  <c r="R18" i="2"/>
  <c r="O19" i="2"/>
  <c r="P19" i="2"/>
  <c r="Q19" i="2"/>
  <c r="R19" i="2"/>
  <c r="K20" i="2"/>
  <c r="Q20" i="2" s="1"/>
  <c r="O4" i="2"/>
  <c r="P4" i="2"/>
  <c r="Q4" i="2"/>
  <c r="R4" i="2"/>
  <c r="O5" i="2"/>
  <c r="P5" i="2"/>
  <c r="Q5" i="2"/>
  <c r="R5" i="2"/>
  <c r="O6" i="2"/>
  <c r="P6" i="2"/>
  <c r="Q6" i="2"/>
  <c r="R6" i="2"/>
  <c r="O7" i="2"/>
  <c r="P7" i="2"/>
  <c r="Q7" i="2"/>
  <c r="R7" i="2"/>
  <c r="O8" i="2"/>
  <c r="P8" i="2"/>
  <c r="Q8" i="2"/>
  <c r="R8" i="2"/>
  <c r="O9" i="2"/>
  <c r="P9" i="2"/>
  <c r="Q9" i="2"/>
  <c r="R9" i="2"/>
  <c r="O10" i="2"/>
  <c r="P10" i="2"/>
  <c r="Q10" i="2"/>
  <c r="R10" i="2"/>
  <c r="O11" i="2"/>
  <c r="P11" i="2"/>
  <c r="Q11" i="2"/>
  <c r="R11" i="2"/>
  <c r="O12" i="2"/>
  <c r="P12" i="2"/>
  <c r="Q12" i="2"/>
  <c r="R12" i="2"/>
  <c r="O13" i="2"/>
  <c r="P13" i="2"/>
  <c r="Q13" i="2"/>
  <c r="R13" i="2"/>
  <c r="P3" i="2"/>
  <c r="Q3" i="2"/>
  <c r="R3" i="2"/>
  <c r="O3" i="2"/>
  <c r="K2" i="1"/>
  <c r="K3" i="1"/>
  <c r="H2" i="4"/>
  <c r="I2" i="4"/>
  <c r="J2" i="4"/>
  <c r="L2" i="4" s="1"/>
  <c r="L3" i="4"/>
  <c r="L4" i="4"/>
  <c r="L5" i="4"/>
  <c r="Q21" i="2" l="1"/>
  <c r="P20" i="2"/>
  <c r="O20" i="2"/>
  <c r="O21" i="2" s="1"/>
  <c r="R20" i="2"/>
  <c r="R21" i="2" s="1"/>
  <c r="R6" i="4" l="1"/>
  <c r="E4" i="6" s="1"/>
  <c r="P6" i="4"/>
  <c r="C4" i="6" s="1"/>
  <c r="S6" i="4"/>
  <c r="F4" i="6" s="1"/>
  <c r="Q6" i="4"/>
  <c r="D4" i="6" s="1"/>
  <c r="P21" i="2"/>
  <c r="P5" i="1"/>
  <c r="R5" i="1"/>
  <c r="O5" i="1"/>
  <c r="Q5" i="1"/>
  <c r="F2" i="6" l="1"/>
  <c r="E2" i="6"/>
  <c r="C2" i="6"/>
  <c r="D2" i="6"/>
  <c r="D10" i="6" l="1"/>
  <c r="D6" i="6"/>
  <c r="D8" i="6"/>
  <c r="D9" i="6"/>
  <c r="D7" i="6"/>
  <c r="C6" i="6"/>
  <c r="C10" i="6"/>
  <c r="C8" i="6"/>
  <c r="C9" i="6"/>
  <c r="C7" i="6"/>
  <c r="E9" i="6"/>
  <c r="E6" i="6"/>
  <c r="E7" i="6"/>
  <c r="E10" i="6"/>
  <c r="E8" i="6"/>
  <c r="F10" i="6"/>
  <c r="F6" i="6"/>
  <c r="F8" i="6"/>
  <c r="F7" i="6"/>
  <c r="F9" i="6"/>
</calcChain>
</file>

<file path=xl/sharedStrings.xml><?xml version="1.0" encoding="utf-8"?>
<sst xmlns="http://schemas.openxmlformats.org/spreadsheetml/2006/main" count="224" uniqueCount="121">
  <si>
    <t>INDICATORE</t>
  </si>
  <si>
    <t>DIMENSIONE BASE</t>
  </si>
  <si>
    <t>DIMENSIONE AVANZATA</t>
  </si>
  <si>
    <t>FORMULA</t>
  </si>
  <si>
    <t>POLARITA'</t>
  </si>
  <si>
    <t>FONTE</t>
  </si>
  <si>
    <t>Valore 2022</t>
  </si>
  <si>
    <t>Valore 2023</t>
  </si>
  <si>
    <t xml:space="preserve">
Valore 2024
</t>
  </si>
  <si>
    <t>Valore 2025
BASELINE</t>
  </si>
  <si>
    <t>Alloggi ERP disponibili sul patrimonio residenziale (%)</t>
  </si>
  <si>
    <t>Impatto/outcome</t>
  </si>
  <si>
    <t>Impatto sociale</t>
  </si>
  <si>
    <t>(Alloggi ERP disponibili / Patrimonio residenziale totale) * 100</t>
  </si>
  <si>
    <t>positiva</t>
  </si>
  <si>
    <t>FABER</t>
  </si>
  <si>
    <t>Famiglie in graduatoria ERP sul totale famiglie residenti (%)</t>
  </si>
  <si>
    <t>(Nuclei/famiglie in graduatoria ERP / Totale famiglie residenti) * 100</t>
  </si>
  <si>
    <t>negativa</t>
  </si>
  <si>
    <t>Copertura del bisogno abitativo: famiglie in bisogno con disabilità (%)</t>
  </si>
  <si>
    <r>
      <rPr>
        <sz val="13"/>
        <rFont val="Arial"/>
        <family val="2"/>
      </rPr>
      <t>%</t>
    </r>
    <r>
      <rPr>
        <sz val="10"/>
        <rFont val="Arial"/>
        <family val="2"/>
      </rPr>
      <t xml:space="preserve"> ASSEGNAZIONI ERP NUCLEI CON INVALIDI</t>
    </r>
  </si>
  <si>
    <t>ufficio casa</t>
  </si>
  <si>
    <t>valore 2021
(se presente)</t>
  </si>
  <si>
    <t>valore 2022
(se presente)</t>
  </si>
  <si>
    <t>valore 2023
(se presente)</t>
  </si>
  <si>
    <t>valore 2024
(se presente)</t>
  </si>
  <si>
    <t>Alloggi abitativi pubblici gestiti (ERP + non ERP) (n.)</t>
  </si>
  <si>
    <t>Efficacia output</t>
  </si>
  <si>
    <t>Efficacia quantitativa erogata</t>
  </si>
  <si>
    <t>Conteggio alloggi gestiti (ERP + non ERP) alla data di riferimento</t>
  </si>
  <si>
    <t>ORSA/FABER</t>
  </si>
  <si>
    <t>Utenti ricevuti su appuntamento per pratiche abitative (n.)</t>
  </si>
  <si>
    <t>Efficacia quantitativa fruita</t>
  </si>
  <si>
    <t>Conteggio utenti/appuntamenti gestiti per informazioni + integrazioni pratiche</t>
  </si>
  <si>
    <t>Consuntivo PIAO</t>
  </si>
  <si>
    <t>Procedimenti di assegnazione alloggi conclusi (n.)</t>
  </si>
  <si>
    <t>Conteggio procedimenti di assegnazione conclusi nell'anno (o nel periodo)</t>
  </si>
  <si>
    <t>Istruttorie di aggiornamento domande concluse su istanze ricevute (%)</t>
  </si>
  <si>
    <t>(Istruttorie redatte/concluse / Istanze ricevute per aggiornamento) * 100</t>
  </si>
  <si>
    <t>Domande di rinegoziazione del canone istruite (%)</t>
  </si>
  <si>
    <t>(Domande di rinegoziazione istruite / Domande di rinegoziazione ricevute) * 100</t>
  </si>
  <si>
    <t>Domande Fondo Affitto liquidate (%)</t>
  </si>
  <si>
    <t>(Domande liquidate / Domande ammissibili o totali) * 100</t>
  </si>
  <si>
    <t>PIAO 25-27; DUP</t>
  </si>
  <si>
    <t>Controlli sostanziali effettuati (ERP + prestazioni) (n.)</t>
  </si>
  <si>
    <t>Efficacia qualitativa erogata</t>
  </si>
  <si>
    <t>Conteggio controlli sostanziali effettuati su: ERP, assegni maternità, nucleo numeroso, Fondo Affitto</t>
  </si>
  <si>
    <t>Atti di decadenza/sgombero eseguiti su occupazioni abusive (%)</t>
  </si>
  <si>
    <t>(Atti di decadenza/sgombero eseguiti / Totale casi di occupazione abusiva accertati) * 100</t>
  </si>
  <si>
    <t>Verifiche/attestazioni di presidio su attività gestite da ACER (n.)</t>
  </si>
  <si>
    <t>Efficacia qualitativa percepita</t>
  </si>
  <si>
    <t>Conteggio verifiche/attestazioni di presidio effettuate su attività in gestione ACER (es. convenzioni/indici aggiuntivi)</t>
  </si>
  <si>
    <t>Alloggi disponibili per anziani (%)</t>
  </si>
  <si>
    <t>(Alloggi disponibili per anziani / Totale alloggi idonei/adeguati) * 100</t>
  </si>
  <si>
    <t>Contratti sottoscritti tramite Agenzia per l'Affitto (%)</t>
  </si>
  <si>
    <t>(Contratti sottoscritti tramite Agenzia per l'Affitto / Totale contratti gestiti o pratiche ammissibili) * 100</t>
  </si>
  <si>
    <t>Casi di morosità gestiti ai fini del discarico (%)</t>
  </si>
  <si>
    <t>(Casi di morosità trattati ai fini del discarico / Totale casi di morosità nel periodo) * 100</t>
  </si>
  <si>
    <t>PIAO 25-27</t>
  </si>
  <si>
    <t>Nuclei ospitati in alloggi di emergenza (n.)</t>
  </si>
  <si>
    <t>Conteggio nuclei ospitati in alloggi di emergenza nel periodo (stock o flusso: specificare)</t>
  </si>
  <si>
    <t>Casa Albergo comunale – utenti in pronta accoglienza (n.)</t>
  </si>
  <si>
    <t>Conteggio utenti accolti/in carico in modalità 'pronta accoglienza' nel periodo</t>
  </si>
  <si>
    <t>Casa Albergo comunale – utenti in accoglienza a medio termine (n.)</t>
  </si>
  <si>
    <t>Conteggio utenti accolti/in carico in modalità 'medio termine' nel periodo</t>
  </si>
  <si>
    <t>Casa Albergo comunale – utenti in accoglienza H24 (n.)</t>
  </si>
  <si>
    <t>Conteggio utenti accolti/in carico in modalità H24 nel periodo</t>
  </si>
  <si>
    <t>Emergenza abitativa – analisi/report su Jerry Masslo e Pensionato Cavazzoli (n.)</t>
  </si>
  <si>
    <t>Conteggio analisi/report periodici prodotti sui dati raccolti (es. report trimestrali/annuali)</t>
  </si>
  <si>
    <t>Variazione assegnatari ERP rispetto all'anno precedente (%)</t>
  </si>
  <si>
    <t>((Assegnatari ERP anno t - Assegnatari ERP anno t-1) / Assegnatari ERP anno t-1) * 100</t>
  </si>
  <si>
    <t>DUP</t>
  </si>
  <si>
    <t>Valore 2025
(se presente)</t>
  </si>
  <si>
    <t>Costo manutenzione ordinaria per alloggio (€/alloggio)</t>
  </si>
  <si>
    <t>Salute amministrativa o delle risorse (input)</t>
  </si>
  <si>
    <t>Salute delle risorse economiche, finanziarie e patrimoniali</t>
  </si>
  <si>
    <t>Spesa manutenzione ordinaria annua (ERP/ERS) / Numero alloggi gestiti</t>
  </si>
  <si>
    <t>ACER - bilancio di previsione e consuntivo; PIAO sezione bilancio</t>
  </si>
  <si>
    <t>Riunioni di monitoraggio convenzione Comune-ACER svolte (%)</t>
  </si>
  <si>
    <t>Salute delle risorse strumentali (digitale-informativa)</t>
  </si>
  <si>
    <t>(Riunioni di monitoraggio svolte / Riunioni pianificate o previste in convenzione) * 100</t>
  </si>
  <si>
    <t>Ore di formazione annue per dipendente del servizio abitativo (ore/FTE)</t>
  </si>
  <si>
    <t>Salute delle risorse umane (professionale)</t>
  </si>
  <si>
    <t>Ore totali di formazione erogate al servizio / Numero dipendenti (FTE) del servizio</t>
  </si>
  <si>
    <t>PIAO - piano della formazione; PTFP (Piano triennale del fabbisogno di personale)</t>
  </si>
  <si>
    <t>Domande presentate online sul totale domande Ufficio Casa (%)</t>
  </si>
  <si>
    <t>(Domande presentate tramite moduli digitali / Totale domande ricevute) * 100</t>
  </si>
  <si>
    <t>CODICE</t>
  </si>
  <si>
    <t>IMP_1</t>
  </si>
  <si>
    <t>IMP_2</t>
  </si>
  <si>
    <t>IMP_3</t>
  </si>
  <si>
    <t>Positiva</t>
  </si>
  <si>
    <t>Negativa</t>
  </si>
  <si>
    <t>BASELINE
2025</t>
  </si>
  <si>
    <t>TARGET
2026</t>
  </si>
  <si>
    <t>TARGET
2027</t>
  </si>
  <si>
    <t>TARGET
2028</t>
  </si>
  <si>
    <t>MA</t>
  </si>
  <si>
    <t>Impatto</t>
  </si>
  <si>
    <t>Efficacia</t>
  </si>
  <si>
    <t>Salute</t>
  </si>
  <si>
    <t>MG</t>
  </si>
  <si>
    <t>IC (primo ordine)</t>
  </si>
  <si>
    <t>VP (secondo ordine)</t>
  </si>
  <si>
    <t>MAP (Scenario A)</t>
  </si>
  <si>
    <t>MAP (Scenario B)</t>
  </si>
  <si>
    <t>MAP (Scenario C)</t>
  </si>
  <si>
    <t>Baseline 2025</t>
  </si>
  <si>
    <t>Target 2026</t>
  </si>
  <si>
    <t>Target 2027</t>
  </si>
  <si>
    <t>Target 2028</t>
  </si>
  <si>
    <t>2026
NORM</t>
  </si>
  <si>
    <t>2027
NORM</t>
  </si>
  <si>
    <t>2028
NORM</t>
  </si>
  <si>
    <t>Media Aritmetica</t>
  </si>
  <si>
    <t>Media aritmetica</t>
  </si>
  <si>
    <t>Scenario A</t>
  </si>
  <si>
    <t>Scenario B</t>
  </si>
  <si>
    <t>Scenario C</t>
  </si>
  <si>
    <t>Note</t>
  </si>
  <si>
    <t>Esempio di funzione SE() per gestire la polarità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</si>
</sst>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0"/>
      <name val="Arial"/>
      <family val="2"/>
    </font>
    <font>
      <b/>
      <sz val="10"/>
      <name val="Verdana"/>
      <family val="2"/>
      <charset val="1"/>
    </font>
    <font>
      <sz val="10"/>
      <name val="Verdana"/>
      <family val="2"/>
      <charset val="1"/>
    </font>
    <font>
      <sz val="13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MT-Identity-H"/>
    </font>
    <font>
      <sz val="10"/>
      <name val="Verdana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31"/>
      </patternFill>
    </fill>
    <fill>
      <patternFill patternType="solid">
        <fgColor indexed="54"/>
        <bgColor indexed="2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23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0" fillId="2" borderId="1" xfId="0" applyNumberForma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 wrapText="1"/>
    </xf>
    <xf numFmtId="10" fontId="0" fillId="3" borderId="1" xfId="0" applyNumberForma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0" fontId="8" fillId="0" borderId="3" xfId="0" applyFont="1" applyBorder="1"/>
    <xf numFmtId="0" fontId="8" fillId="0" borderId="3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11" fillId="0" borderId="3" xfId="0" applyFont="1" applyBorder="1"/>
    <xf numFmtId="0" fontId="9" fillId="0" borderId="3" xfId="0" applyFont="1" applyBorder="1"/>
    <xf numFmtId="1" fontId="0" fillId="0" borderId="3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0" fontId="0" fillId="3" borderId="2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0" fontId="0" fillId="3" borderId="5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0" fontId="0" fillId="3" borderId="6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7D1D5"/>
      <rgbColor rgb="003366FF"/>
      <rgbColor rgb="0033CCCC"/>
      <rgbColor rgb="0099CC00"/>
      <rgbColor rgb="00FFCC00"/>
      <rgbColor rgb="00FF9900"/>
      <rgbColor rgb="00FF6600"/>
      <rgbColor rgb="005983B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909D-FECD-40F3-8BB7-FFF22D31FC14}">
  <dimension ref="A1:S5"/>
  <sheetViews>
    <sheetView tabSelected="1" zoomScale="98" workbookViewId="0">
      <selection activeCell="S5" sqref="S5"/>
    </sheetView>
  </sheetViews>
  <sheetFormatPr defaultColWidth="11.453125" defaultRowHeight="12.5"/>
  <cols>
    <col min="1" max="1" width="21.54296875" bestFit="1" customWidth="1"/>
    <col min="2" max="2" width="8.90625" bestFit="1" customWidth="1"/>
    <col min="3" max="3" width="17.54296875" customWidth="1"/>
    <col min="4" max="4" width="15.08984375" bestFit="1" customWidth="1"/>
    <col min="5" max="5" width="24" bestFit="1" customWidth="1"/>
    <col min="6" max="6" width="12.36328125" bestFit="1" customWidth="1"/>
    <col min="7" max="7" width="11.1796875" bestFit="1" customWidth="1"/>
    <col min="8" max="8" width="17" customWidth="1"/>
    <col min="9" max="9" width="20.453125" style="1" customWidth="1"/>
    <col min="10" max="10" width="17" customWidth="1"/>
    <col min="11" max="11" width="11.36328125" bestFit="1" customWidth="1"/>
    <col min="12" max="13" width="9.1796875" bestFit="1" customWidth="1"/>
    <col min="14" max="14" width="15.453125" bestFit="1" customWidth="1"/>
    <col min="15" max="15" width="14.26953125" customWidth="1"/>
    <col min="19" max="19" width="39.81640625" bestFit="1" customWidth="1"/>
  </cols>
  <sheetData>
    <row r="1" spans="1:19" ht="33.5" customHeight="1">
      <c r="A1" s="2" t="s">
        <v>0</v>
      </c>
      <c r="B1" s="2" t="s">
        <v>87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93</v>
      </c>
      <c r="L1" s="4" t="s">
        <v>94</v>
      </c>
      <c r="M1" s="4" t="s">
        <v>95</v>
      </c>
      <c r="N1" s="4" t="s">
        <v>96</v>
      </c>
      <c r="O1" s="3" t="s">
        <v>9</v>
      </c>
      <c r="P1" s="4" t="s">
        <v>111</v>
      </c>
      <c r="Q1" s="4" t="s">
        <v>112</v>
      </c>
      <c r="R1" s="4" t="s">
        <v>113</v>
      </c>
      <c r="S1" s="56" t="s">
        <v>119</v>
      </c>
    </row>
    <row r="2" spans="1:19" ht="40.5">
      <c r="A2" s="30" t="s">
        <v>10</v>
      </c>
      <c r="B2" s="30" t="s">
        <v>88</v>
      </c>
      <c r="C2" s="5" t="s">
        <v>11</v>
      </c>
      <c r="D2" s="5" t="s">
        <v>12</v>
      </c>
      <c r="E2" s="5" t="s">
        <v>13</v>
      </c>
      <c r="F2" s="5" t="s">
        <v>91</v>
      </c>
      <c r="G2" s="5" t="s">
        <v>15</v>
      </c>
      <c r="H2" s="5"/>
      <c r="I2" s="6"/>
      <c r="J2" s="7">
        <v>2.7999999999999997E-2</v>
      </c>
      <c r="K2" s="8">
        <f>J2</f>
        <v>2.7999999999999997E-2</v>
      </c>
      <c r="L2" s="9">
        <v>2.8999999999999998E-2</v>
      </c>
      <c r="M2" s="9">
        <v>2.9500000000000002E-2</v>
      </c>
      <c r="N2" s="9">
        <v>0.03</v>
      </c>
      <c r="O2" s="48">
        <f>IF($F2="Positiva",(K2-$K2)/$K2*100+100,(K2-$K2)/$K2*(-100)+100)</f>
        <v>100</v>
      </c>
      <c r="P2" s="48">
        <f t="shared" ref="P2:R2" si="0">IF($F2="Positiva",(L2-$K2)/$K2*100+100,(L2-$K2)/$K2*(-100)+100)</f>
        <v>103.57142857142857</v>
      </c>
      <c r="Q2" s="48">
        <f t="shared" si="0"/>
        <v>105.35714285714288</v>
      </c>
      <c r="R2" s="57">
        <f t="shared" si="0"/>
        <v>107.14285714285715</v>
      </c>
      <c r="S2" s="59" t="s">
        <v>120</v>
      </c>
    </row>
    <row r="3" spans="1:19" ht="54">
      <c r="A3" s="30" t="s">
        <v>16</v>
      </c>
      <c r="B3" s="30" t="s">
        <v>89</v>
      </c>
      <c r="C3" s="5" t="s">
        <v>11</v>
      </c>
      <c r="D3" s="5" t="s">
        <v>12</v>
      </c>
      <c r="E3" s="5" t="s">
        <v>17</v>
      </c>
      <c r="F3" s="5" t="s">
        <v>92</v>
      </c>
      <c r="G3" s="5" t="s">
        <v>15</v>
      </c>
      <c r="H3" s="5"/>
      <c r="I3" s="7">
        <v>9.0000000000000011E-3</v>
      </c>
      <c r="J3" s="6"/>
      <c r="K3" s="8">
        <f>I3</f>
        <v>9.0000000000000011E-3</v>
      </c>
      <c r="L3" s="9">
        <v>8.8999999999999999E-3</v>
      </c>
      <c r="M3" s="9">
        <v>8.8000000000000005E-3</v>
      </c>
      <c r="N3" s="9">
        <v>8.6999999999999994E-3</v>
      </c>
      <c r="O3" s="48">
        <f t="shared" ref="O3:O4" si="1">IF($F3="Positiva",(K3-$K3)/$K3*100+100,(K3-$K3)/$K3*(-100)+100)</f>
        <v>100</v>
      </c>
      <c r="P3" s="48">
        <f t="shared" ref="P3:P4" si="2">IF($F3="Positiva",(L3-$K3)/$K3*100+100,(L3-$K3)/$K3*(-100)+100)</f>
        <v>101.11111111111113</v>
      </c>
      <c r="Q3" s="48">
        <f t="shared" ref="Q3:Q4" si="3">IF($F3="Positiva",(M3-$K3)/$K3*100+100,(M3-$K3)/$K3*(-100)+100)</f>
        <v>102.22222222222223</v>
      </c>
      <c r="R3" s="48">
        <f t="shared" ref="R3:R4" si="4">IF($F3="Positiva",(N3-$K3)/$K3*100+100,(N3-$K3)/$K3*(-100)+100)</f>
        <v>103.33333333333336</v>
      </c>
      <c r="S3" s="59" t="s">
        <v>120</v>
      </c>
    </row>
    <row r="4" spans="1:19" ht="54">
      <c r="A4" s="30" t="s">
        <v>19</v>
      </c>
      <c r="B4" s="30" t="s">
        <v>90</v>
      </c>
      <c r="C4" s="5" t="s">
        <v>11</v>
      </c>
      <c r="D4" s="5" t="s">
        <v>12</v>
      </c>
      <c r="E4" s="10" t="s">
        <v>20</v>
      </c>
      <c r="F4" s="5" t="s">
        <v>91</v>
      </c>
      <c r="G4" s="5" t="s">
        <v>21</v>
      </c>
      <c r="H4" s="11">
        <v>0.35049999999999998</v>
      </c>
      <c r="I4" s="7">
        <v>0.43659999999999999</v>
      </c>
      <c r="J4" s="7">
        <v>0.625</v>
      </c>
      <c r="K4" s="12">
        <v>0.625</v>
      </c>
      <c r="L4" s="9">
        <v>0.63</v>
      </c>
      <c r="M4" s="9">
        <v>0.65</v>
      </c>
      <c r="N4" s="47">
        <v>0.67</v>
      </c>
      <c r="O4" s="48">
        <f t="shared" si="1"/>
        <v>100</v>
      </c>
      <c r="P4" s="48">
        <f t="shared" si="2"/>
        <v>100.8</v>
      </c>
      <c r="Q4" s="48">
        <f t="shared" si="3"/>
        <v>104</v>
      </c>
      <c r="R4" s="48">
        <f t="shared" si="4"/>
        <v>107.2</v>
      </c>
      <c r="S4" s="59" t="s">
        <v>120</v>
      </c>
    </row>
    <row r="5" spans="1:19" ht="13">
      <c r="A5" s="13"/>
      <c r="B5" s="13"/>
      <c r="C5" s="13"/>
      <c r="D5" s="13"/>
      <c r="E5" s="13"/>
      <c r="N5" s="32" t="s">
        <v>114</v>
      </c>
      <c r="O5" s="49">
        <f>AVERAGE(O2:O4)</f>
        <v>100</v>
      </c>
      <c r="P5" s="48">
        <f>AVERAGE(P2:P4)</f>
        <v>101.82751322751324</v>
      </c>
      <c r="Q5" s="48">
        <f>AVERAGE(Q2:Q4)</f>
        <v>103.85978835978837</v>
      </c>
      <c r="R5" s="57">
        <f>AVERAGE(R2:R4)</f>
        <v>105.89206349206351</v>
      </c>
      <c r="S5" s="58"/>
    </row>
  </sheetData>
  <sheetProtection selectLockedCells="1" selectUnlockedCells="1"/>
  <phoneticPr fontId="10" type="noConversion"/>
  <pageMargins left="0.78749999999999998" right="0.78749999999999998" top="1.0527777777777778" bottom="1.0527777777777778" header="0.78749999999999998" footer="0.78749999999999998"/>
  <pageSetup paperSize="9" scale="60" orientation="landscape" useFirstPageNumber="1" horizontalDpi="300" verticalDpi="300" r:id="rId1"/>
  <headerFooter alignWithMargins="0"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1BFF-897A-4B22-973E-FF9AAABE1700}">
  <dimension ref="A1:R21"/>
  <sheetViews>
    <sheetView topLeftCell="F13" workbookViewId="0">
      <selection activeCell="N21" sqref="N21"/>
    </sheetView>
  </sheetViews>
  <sheetFormatPr defaultColWidth="11.453125" defaultRowHeight="12.5"/>
  <cols>
    <col min="1" max="1" width="16.7265625" customWidth="1"/>
    <col min="2" max="2" width="18.26953125" customWidth="1"/>
    <col min="3" max="3" width="20.54296875" customWidth="1"/>
    <col min="4" max="4" width="23.453125" customWidth="1"/>
    <col min="5" max="5" width="19.6328125" customWidth="1"/>
    <col min="6" max="6" width="21.7265625" customWidth="1"/>
    <col min="7" max="8" width="28.54296875" hidden="1" customWidth="1"/>
    <col min="9" max="9" width="28.54296875" style="1" hidden="1" customWidth="1"/>
    <col min="10" max="10" width="28.54296875" hidden="1" customWidth="1"/>
    <col min="11" max="11" width="17.26953125" customWidth="1"/>
    <col min="12" max="12" width="12.36328125" style="1" customWidth="1"/>
    <col min="13" max="13" width="11.453125" style="1"/>
    <col min="14" max="14" width="15.1796875" style="1" bestFit="1" customWidth="1"/>
    <col min="15" max="15" width="11.36328125" bestFit="1" customWidth="1"/>
    <col min="16" max="17" width="13.54296875" bestFit="1" customWidth="1"/>
    <col min="18" max="18" width="12.26953125" bestFit="1" customWidth="1"/>
  </cols>
  <sheetData>
    <row r="1" spans="1:18" ht="13">
      <c r="A1" s="14"/>
      <c r="B1" s="14"/>
      <c r="C1" s="14"/>
      <c r="D1" s="14"/>
      <c r="E1" s="14"/>
      <c r="F1" s="14"/>
      <c r="G1" s="14"/>
      <c r="H1" s="14"/>
      <c r="I1" s="15"/>
      <c r="J1" s="14"/>
      <c r="K1" s="14"/>
    </row>
    <row r="2" spans="1:18" ht="40.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22</v>
      </c>
      <c r="H2" s="2" t="s">
        <v>23</v>
      </c>
      <c r="I2" s="2" t="s">
        <v>24</v>
      </c>
      <c r="J2" s="2" t="s">
        <v>25</v>
      </c>
      <c r="K2" s="3" t="s">
        <v>9</v>
      </c>
      <c r="L2" s="4">
        <v>2026</v>
      </c>
      <c r="M2" s="4">
        <v>2027</v>
      </c>
      <c r="N2" s="4">
        <v>2028</v>
      </c>
      <c r="O2" s="3" t="s">
        <v>9</v>
      </c>
      <c r="P2" s="4" t="s">
        <v>111</v>
      </c>
      <c r="Q2" s="4" t="s">
        <v>112</v>
      </c>
      <c r="R2" s="4" t="s">
        <v>113</v>
      </c>
    </row>
    <row r="3" spans="1:18" ht="54">
      <c r="A3" s="5" t="s">
        <v>26</v>
      </c>
      <c r="B3" s="5" t="s">
        <v>27</v>
      </c>
      <c r="C3" s="5" t="s">
        <v>28</v>
      </c>
      <c r="D3" s="5" t="s">
        <v>29</v>
      </c>
      <c r="E3" s="5" t="s">
        <v>14</v>
      </c>
      <c r="F3" s="5" t="s">
        <v>30</v>
      </c>
      <c r="G3" s="5">
        <v>2778</v>
      </c>
      <c r="H3" s="5">
        <v>2917</v>
      </c>
      <c r="I3" s="5">
        <v>2917</v>
      </c>
      <c r="J3" s="5">
        <v>2909</v>
      </c>
      <c r="K3" s="16">
        <v>2915</v>
      </c>
      <c r="L3" s="17">
        <v>2918</v>
      </c>
      <c r="M3" s="17">
        <v>2920</v>
      </c>
      <c r="N3" s="17">
        <v>2922</v>
      </c>
      <c r="O3" s="45">
        <f t="shared" ref="O3:O13" si="0">(K3-$K3)/$K3*100+100</f>
        <v>100</v>
      </c>
      <c r="P3" s="45">
        <f t="shared" ref="P3:P13" si="1">(L3-$K3)/$K3*100+100</f>
        <v>100.10291595197256</v>
      </c>
      <c r="Q3" s="45">
        <f t="shared" ref="Q3:Q13" si="2">(M3-$K3)/$K3*100+100</f>
        <v>100.17152658662093</v>
      </c>
      <c r="R3" s="45">
        <f t="shared" ref="R3:R13" si="3">(N3-$K3)/$K3*100+100</f>
        <v>100.24013722126929</v>
      </c>
    </row>
    <row r="4" spans="1:18" ht="67.5">
      <c r="A4" s="5" t="s">
        <v>31</v>
      </c>
      <c r="B4" s="5" t="s">
        <v>27</v>
      </c>
      <c r="C4" s="5" t="s">
        <v>32</v>
      </c>
      <c r="D4" s="5" t="s">
        <v>33</v>
      </c>
      <c r="E4" s="5" t="s">
        <v>14</v>
      </c>
      <c r="F4" s="5" t="s">
        <v>34</v>
      </c>
      <c r="G4" s="6">
        <v>197</v>
      </c>
      <c r="H4" s="6">
        <v>324</v>
      </c>
      <c r="I4" s="6">
        <v>168</v>
      </c>
      <c r="J4" s="5">
        <v>170</v>
      </c>
      <c r="K4" s="16">
        <v>172</v>
      </c>
      <c r="L4" s="17">
        <v>174</v>
      </c>
      <c r="M4" s="17">
        <v>176</v>
      </c>
      <c r="N4" s="17">
        <v>178</v>
      </c>
      <c r="O4" s="45">
        <f t="shared" si="0"/>
        <v>100</v>
      </c>
      <c r="P4" s="45">
        <f t="shared" si="1"/>
        <v>101.16279069767442</v>
      </c>
      <c r="Q4" s="45">
        <f t="shared" si="2"/>
        <v>102.32558139534883</v>
      </c>
      <c r="R4" s="45">
        <f t="shared" si="3"/>
        <v>103.48837209302326</v>
      </c>
    </row>
    <row r="5" spans="1:18" ht="97" customHeight="1">
      <c r="A5" s="5" t="s">
        <v>35</v>
      </c>
      <c r="B5" s="5" t="s">
        <v>27</v>
      </c>
      <c r="C5" s="5" t="s">
        <v>32</v>
      </c>
      <c r="D5" s="5" t="s">
        <v>36</v>
      </c>
      <c r="E5" s="5" t="s">
        <v>14</v>
      </c>
      <c r="F5" s="5" t="s">
        <v>34</v>
      </c>
      <c r="G5" s="6">
        <v>100</v>
      </c>
      <c r="H5" s="6">
        <v>69</v>
      </c>
      <c r="I5" s="1">
        <v>94</v>
      </c>
      <c r="J5" s="5">
        <v>96</v>
      </c>
      <c r="K5" s="16">
        <v>91</v>
      </c>
      <c r="L5" s="17">
        <v>94</v>
      </c>
      <c r="M5" s="17">
        <v>98</v>
      </c>
      <c r="N5" s="17">
        <v>100</v>
      </c>
      <c r="O5" s="45">
        <f t="shared" si="0"/>
        <v>100</v>
      </c>
      <c r="P5" s="45">
        <f t="shared" si="1"/>
        <v>103.2967032967033</v>
      </c>
      <c r="Q5" s="45">
        <f t="shared" si="2"/>
        <v>107.69230769230769</v>
      </c>
      <c r="R5" s="45">
        <f t="shared" si="3"/>
        <v>109.8901098901099</v>
      </c>
    </row>
    <row r="6" spans="1:18" ht="81">
      <c r="A6" s="5" t="s">
        <v>37</v>
      </c>
      <c r="B6" s="5" t="s">
        <v>27</v>
      </c>
      <c r="C6" s="5" t="s">
        <v>28</v>
      </c>
      <c r="D6" s="5" t="s">
        <v>38</v>
      </c>
      <c r="E6" s="5" t="s">
        <v>14</v>
      </c>
      <c r="F6" s="5" t="s">
        <v>34</v>
      </c>
      <c r="G6" s="5">
        <v>100</v>
      </c>
      <c r="H6" s="5">
        <v>100</v>
      </c>
      <c r="I6" s="5">
        <v>100</v>
      </c>
      <c r="J6" s="18">
        <v>100</v>
      </c>
      <c r="K6" s="19">
        <v>100</v>
      </c>
      <c r="L6" s="17">
        <v>100</v>
      </c>
      <c r="M6" s="17">
        <v>100</v>
      </c>
      <c r="N6" s="17">
        <v>100</v>
      </c>
      <c r="O6" s="45">
        <f t="shared" si="0"/>
        <v>100</v>
      </c>
      <c r="P6" s="45">
        <f t="shared" si="1"/>
        <v>100</v>
      </c>
      <c r="Q6" s="45">
        <f t="shared" si="2"/>
        <v>100</v>
      </c>
      <c r="R6" s="45">
        <f t="shared" si="3"/>
        <v>100</v>
      </c>
    </row>
    <row r="7" spans="1:18" ht="67.5">
      <c r="A7" s="5" t="s">
        <v>39</v>
      </c>
      <c r="B7" s="5" t="s">
        <v>27</v>
      </c>
      <c r="C7" s="5" t="s">
        <v>32</v>
      </c>
      <c r="D7" s="5" t="s">
        <v>40</v>
      </c>
      <c r="E7" s="5" t="s">
        <v>14</v>
      </c>
      <c r="F7" s="5" t="s">
        <v>34</v>
      </c>
      <c r="G7" s="5">
        <v>100</v>
      </c>
      <c r="H7" s="5">
        <v>100</v>
      </c>
      <c r="I7" s="5">
        <v>100</v>
      </c>
      <c r="J7" s="5">
        <v>100</v>
      </c>
      <c r="K7" s="16">
        <v>100</v>
      </c>
      <c r="L7" s="17">
        <v>100</v>
      </c>
      <c r="M7" s="17">
        <v>100</v>
      </c>
      <c r="N7" s="17">
        <v>100</v>
      </c>
      <c r="O7" s="45">
        <f t="shared" si="0"/>
        <v>100</v>
      </c>
      <c r="P7" s="45">
        <f t="shared" si="1"/>
        <v>100</v>
      </c>
      <c r="Q7" s="45">
        <f t="shared" si="2"/>
        <v>100</v>
      </c>
      <c r="R7" s="45">
        <f t="shared" si="3"/>
        <v>100</v>
      </c>
    </row>
    <row r="8" spans="1:18" ht="68" customHeight="1">
      <c r="A8" s="5" t="s">
        <v>41</v>
      </c>
      <c r="B8" s="5" t="s">
        <v>27</v>
      </c>
      <c r="C8" s="5" t="s">
        <v>32</v>
      </c>
      <c r="D8" s="5" t="s">
        <v>42</v>
      </c>
      <c r="E8" s="5" t="s">
        <v>14</v>
      </c>
      <c r="F8" s="5" t="s">
        <v>43</v>
      </c>
      <c r="G8" s="5">
        <v>100</v>
      </c>
      <c r="H8" s="11">
        <v>0.78939999999999999</v>
      </c>
      <c r="I8" s="11">
        <v>0.81</v>
      </c>
      <c r="J8" s="7">
        <v>0.8931</v>
      </c>
      <c r="K8" s="8">
        <v>1</v>
      </c>
      <c r="L8" s="28">
        <v>1</v>
      </c>
      <c r="M8" s="29">
        <v>1</v>
      </c>
      <c r="N8" s="29">
        <v>1</v>
      </c>
      <c r="O8" s="45">
        <f t="shared" si="0"/>
        <v>100</v>
      </c>
      <c r="P8" s="45">
        <f t="shared" si="1"/>
        <v>100</v>
      </c>
      <c r="Q8" s="45">
        <f t="shared" si="2"/>
        <v>100</v>
      </c>
      <c r="R8" s="45">
        <f t="shared" si="3"/>
        <v>100</v>
      </c>
    </row>
    <row r="9" spans="1:18" ht="85.75" customHeight="1">
      <c r="A9" s="5" t="s">
        <v>44</v>
      </c>
      <c r="B9" s="5" t="s">
        <v>27</v>
      </c>
      <c r="C9" s="5" t="s">
        <v>45</v>
      </c>
      <c r="D9" s="5" t="s">
        <v>46</v>
      </c>
      <c r="E9" s="5" t="s">
        <v>14</v>
      </c>
      <c r="F9" s="5" t="s">
        <v>43</v>
      </c>
      <c r="G9" s="5">
        <v>100</v>
      </c>
      <c r="H9" s="5">
        <v>69</v>
      </c>
      <c r="I9" s="5">
        <v>94</v>
      </c>
      <c r="J9" s="5">
        <v>18</v>
      </c>
      <c r="K9" s="16">
        <v>50</v>
      </c>
      <c r="L9" s="17">
        <v>55</v>
      </c>
      <c r="M9" s="17">
        <v>60</v>
      </c>
      <c r="N9" s="17">
        <v>65</v>
      </c>
      <c r="O9" s="45">
        <f t="shared" si="0"/>
        <v>100</v>
      </c>
      <c r="P9" s="45">
        <f t="shared" si="1"/>
        <v>110</v>
      </c>
      <c r="Q9" s="45">
        <f t="shared" si="2"/>
        <v>120</v>
      </c>
      <c r="R9" s="45">
        <f t="shared" si="3"/>
        <v>130</v>
      </c>
    </row>
    <row r="10" spans="1:18" ht="67.5">
      <c r="A10" s="39" t="s">
        <v>47</v>
      </c>
      <c r="B10" s="39" t="s">
        <v>27</v>
      </c>
      <c r="C10" s="39" t="s">
        <v>45</v>
      </c>
      <c r="D10" s="39" t="s">
        <v>48</v>
      </c>
      <c r="E10" s="39" t="s">
        <v>14</v>
      </c>
      <c r="F10" s="39" t="s">
        <v>43</v>
      </c>
      <c r="G10" s="40">
        <v>0.75</v>
      </c>
      <c r="H10" s="40">
        <v>0.75</v>
      </c>
      <c r="I10" s="41">
        <v>0.75</v>
      </c>
      <c r="J10" s="40">
        <v>0.75</v>
      </c>
      <c r="K10" s="42">
        <v>75</v>
      </c>
      <c r="L10" s="43">
        <v>80</v>
      </c>
      <c r="M10" s="44">
        <v>85</v>
      </c>
      <c r="N10" s="44">
        <v>90</v>
      </c>
      <c r="O10" s="45">
        <f t="shared" si="0"/>
        <v>100</v>
      </c>
      <c r="P10" s="45">
        <f t="shared" si="1"/>
        <v>106.66666666666667</v>
      </c>
      <c r="Q10" s="45">
        <f t="shared" si="2"/>
        <v>113.33333333333333</v>
      </c>
      <c r="R10" s="45">
        <f t="shared" si="3"/>
        <v>120</v>
      </c>
    </row>
    <row r="11" spans="1:18" ht="94.5">
      <c r="A11" s="5" t="s">
        <v>49</v>
      </c>
      <c r="B11" s="5" t="s">
        <v>27</v>
      </c>
      <c r="C11" s="5" t="s">
        <v>50</v>
      </c>
      <c r="D11" s="5" t="s">
        <v>51</v>
      </c>
      <c r="E11" s="5" t="s">
        <v>14</v>
      </c>
      <c r="F11" s="5" t="s">
        <v>43</v>
      </c>
      <c r="G11" s="5">
        <v>2</v>
      </c>
      <c r="H11" s="6">
        <v>2</v>
      </c>
      <c r="I11" s="6">
        <v>2</v>
      </c>
      <c r="J11" s="6">
        <v>2</v>
      </c>
      <c r="K11" s="21">
        <v>2</v>
      </c>
      <c r="L11" s="17">
        <v>3</v>
      </c>
      <c r="M11" s="17">
        <v>4</v>
      </c>
      <c r="N11" s="17">
        <v>5</v>
      </c>
      <c r="O11" s="45">
        <f t="shared" si="0"/>
        <v>100</v>
      </c>
      <c r="P11" s="45">
        <f t="shared" si="1"/>
        <v>150</v>
      </c>
      <c r="Q11" s="45">
        <f t="shared" si="2"/>
        <v>200</v>
      </c>
      <c r="R11" s="45">
        <f t="shared" si="3"/>
        <v>250</v>
      </c>
    </row>
    <row r="12" spans="1:18" ht="40.5">
      <c r="A12" s="5" t="s">
        <v>52</v>
      </c>
      <c r="B12" s="5" t="s">
        <v>27</v>
      </c>
      <c r="C12" s="5" t="s">
        <v>28</v>
      </c>
      <c r="D12" s="5" t="s">
        <v>53</v>
      </c>
      <c r="E12" s="5" t="s">
        <v>14</v>
      </c>
      <c r="F12" s="5" t="s">
        <v>43</v>
      </c>
      <c r="G12" s="7">
        <v>1</v>
      </c>
      <c r="H12" s="7">
        <v>1</v>
      </c>
      <c r="I12" s="7">
        <v>1</v>
      </c>
      <c r="J12" s="7">
        <v>1</v>
      </c>
      <c r="K12" s="22">
        <v>1</v>
      </c>
      <c r="L12" s="9">
        <v>1</v>
      </c>
      <c r="M12" s="9">
        <v>1</v>
      </c>
      <c r="N12" s="9">
        <v>1</v>
      </c>
      <c r="O12" s="45">
        <f t="shared" si="0"/>
        <v>100</v>
      </c>
      <c r="P12" s="45">
        <f t="shared" si="1"/>
        <v>100</v>
      </c>
      <c r="Q12" s="45">
        <f t="shared" si="2"/>
        <v>100</v>
      </c>
      <c r="R12" s="45">
        <f t="shared" si="3"/>
        <v>100</v>
      </c>
    </row>
    <row r="13" spans="1:18" ht="81">
      <c r="A13" s="5" t="s">
        <v>54</v>
      </c>
      <c r="B13" s="5" t="s">
        <v>27</v>
      </c>
      <c r="C13" s="5" t="s">
        <v>32</v>
      </c>
      <c r="D13" s="5" t="s">
        <v>55</v>
      </c>
      <c r="E13" s="5" t="s">
        <v>14</v>
      </c>
      <c r="F13" s="5" t="s">
        <v>43</v>
      </c>
      <c r="G13" s="6">
        <v>135</v>
      </c>
      <c r="H13" s="6">
        <v>140</v>
      </c>
      <c r="I13" s="6">
        <v>138</v>
      </c>
      <c r="J13" s="6">
        <v>239</v>
      </c>
      <c r="K13" s="21">
        <v>225</v>
      </c>
      <c r="L13" s="20">
        <v>228</v>
      </c>
      <c r="M13" s="17">
        <v>230</v>
      </c>
      <c r="N13" s="17">
        <v>232</v>
      </c>
      <c r="O13" s="45">
        <f t="shared" si="0"/>
        <v>100</v>
      </c>
      <c r="P13" s="45">
        <f t="shared" si="1"/>
        <v>101.33333333333333</v>
      </c>
      <c r="Q13" s="45">
        <f t="shared" si="2"/>
        <v>102.22222222222223</v>
      </c>
      <c r="R13" s="45">
        <f t="shared" si="3"/>
        <v>103.11111111111111</v>
      </c>
    </row>
    <row r="14" spans="1:18" ht="67.5">
      <c r="A14" s="30" t="s">
        <v>56</v>
      </c>
      <c r="B14" s="5" t="s">
        <v>27</v>
      </c>
      <c r="C14" s="5" t="s">
        <v>45</v>
      </c>
      <c r="D14" s="5" t="s">
        <v>57</v>
      </c>
      <c r="E14" s="5" t="s">
        <v>14</v>
      </c>
      <c r="F14" s="5" t="s">
        <v>58</v>
      </c>
      <c r="G14" s="6"/>
      <c r="H14" s="6"/>
      <c r="I14" s="6"/>
      <c r="J14" s="7">
        <v>0.3</v>
      </c>
      <c r="K14" s="8">
        <v>0.3</v>
      </c>
      <c r="L14" s="23">
        <v>0.31</v>
      </c>
      <c r="M14" s="9">
        <v>0.32</v>
      </c>
      <c r="N14" s="9">
        <v>0.33</v>
      </c>
      <c r="O14" s="45">
        <f t="shared" ref="O14:O20" si="4">(K14-$K14)/$K14*100+100</f>
        <v>100</v>
      </c>
      <c r="P14" s="45">
        <f t="shared" ref="P14:P20" si="5">(L14-$K14)/$K14*100+100</f>
        <v>103.33333333333334</v>
      </c>
      <c r="Q14" s="45">
        <f t="shared" ref="Q14:Q20" si="6">(M14-$K14)/$K14*100+100</f>
        <v>106.66666666666667</v>
      </c>
      <c r="R14" s="45">
        <f t="shared" ref="R14:R20" si="7">(N14-$K14)/$K14*100+100</f>
        <v>110.00000000000001</v>
      </c>
    </row>
    <row r="15" spans="1:18" ht="67.5">
      <c r="A15" s="30" t="s">
        <v>59</v>
      </c>
      <c r="B15" s="5" t="s">
        <v>27</v>
      </c>
      <c r="C15" s="5" t="s">
        <v>32</v>
      </c>
      <c r="D15" s="5" t="s">
        <v>60</v>
      </c>
      <c r="E15" s="5" t="s">
        <v>14</v>
      </c>
      <c r="F15" s="5" t="s">
        <v>58</v>
      </c>
      <c r="G15" s="6">
        <v>260</v>
      </c>
      <c r="H15" s="6">
        <v>340</v>
      </c>
      <c r="I15" s="6">
        <v>294</v>
      </c>
      <c r="J15" s="6">
        <v>287</v>
      </c>
      <c r="K15" s="21">
        <v>285</v>
      </c>
      <c r="L15" s="17">
        <v>288</v>
      </c>
      <c r="M15" s="17">
        <v>290</v>
      </c>
      <c r="N15" s="17">
        <v>292</v>
      </c>
      <c r="O15" s="45">
        <f t="shared" si="4"/>
        <v>100</v>
      </c>
      <c r="P15" s="45">
        <f t="shared" si="5"/>
        <v>101.05263157894737</v>
      </c>
      <c r="Q15" s="45">
        <f t="shared" si="6"/>
        <v>101.75438596491227</v>
      </c>
      <c r="R15" s="45">
        <f t="shared" si="7"/>
        <v>102.45614035087719</v>
      </c>
    </row>
    <row r="16" spans="1:18" ht="54">
      <c r="A16" s="30" t="s">
        <v>61</v>
      </c>
      <c r="B16" s="5" t="s">
        <v>27</v>
      </c>
      <c r="C16" s="5" t="s">
        <v>32</v>
      </c>
      <c r="D16" s="5" t="s">
        <v>62</v>
      </c>
      <c r="E16" s="5" t="s">
        <v>14</v>
      </c>
      <c r="F16" s="5" t="s">
        <v>58</v>
      </c>
      <c r="G16" s="6"/>
      <c r="H16" s="6">
        <v>150</v>
      </c>
      <c r="I16" s="6">
        <v>178</v>
      </c>
      <c r="J16" s="6">
        <v>184</v>
      </c>
      <c r="K16" s="21">
        <v>184</v>
      </c>
      <c r="L16" s="17">
        <v>186</v>
      </c>
      <c r="M16" s="17">
        <v>188</v>
      </c>
      <c r="N16" s="17">
        <v>190</v>
      </c>
      <c r="O16" s="45">
        <f t="shared" si="4"/>
        <v>100</v>
      </c>
      <c r="P16" s="45">
        <f t="shared" si="5"/>
        <v>101.08695652173913</v>
      </c>
      <c r="Q16" s="45">
        <f t="shared" si="6"/>
        <v>102.17391304347827</v>
      </c>
      <c r="R16" s="45">
        <f t="shared" si="7"/>
        <v>103.26086956521739</v>
      </c>
    </row>
    <row r="17" spans="1:18" ht="81">
      <c r="A17" s="30" t="s">
        <v>63</v>
      </c>
      <c r="B17" s="5" t="s">
        <v>27</v>
      </c>
      <c r="C17" s="5" t="s">
        <v>32</v>
      </c>
      <c r="D17" s="5" t="s">
        <v>64</v>
      </c>
      <c r="E17" s="5" t="s">
        <v>14</v>
      </c>
      <c r="F17" s="5" t="s">
        <v>58</v>
      </c>
      <c r="G17" s="6"/>
      <c r="H17" s="6">
        <v>16</v>
      </c>
      <c r="I17" s="6">
        <v>26</v>
      </c>
      <c r="J17" s="6">
        <v>13</v>
      </c>
      <c r="K17" s="21">
        <v>13</v>
      </c>
      <c r="L17" s="17">
        <v>14</v>
      </c>
      <c r="M17" s="17">
        <v>15</v>
      </c>
      <c r="N17" s="17">
        <v>16</v>
      </c>
      <c r="O17" s="45">
        <f t="shared" si="4"/>
        <v>100</v>
      </c>
      <c r="P17" s="45">
        <f t="shared" si="5"/>
        <v>107.69230769230769</v>
      </c>
      <c r="Q17" s="45">
        <f t="shared" si="6"/>
        <v>115.38461538461539</v>
      </c>
      <c r="R17" s="45">
        <f t="shared" si="7"/>
        <v>123.07692307692308</v>
      </c>
    </row>
    <row r="18" spans="1:18" ht="67.5">
      <c r="A18" s="30" t="s">
        <v>65</v>
      </c>
      <c r="B18" s="5" t="s">
        <v>27</v>
      </c>
      <c r="C18" s="5" t="s">
        <v>32</v>
      </c>
      <c r="D18" s="5" t="s">
        <v>66</v>
      </c>
      <c r="E18" s="5" t="s">
        <v>14</v>
      </c>
      <c r="F18" s="5" t="s">
        <v>58</v>
      </c>
      <c r="G18" s="6"/>
      <c r="H18" s="6">
        <v>150</v>
      </c>
      <c r="I18" s="6">
        <v>178</v>
      </c>
      <c r="J18" s="6">
        <v>184</v>
      </c>
      <c r="K18" s="21">
        <v>184</v>
      </c>
      <c r="L18" s="17">
        <v>186</v>
      </c>
      <c r="M18" s="17">
        <v>188</v>
      </c>
      <c r="N18" s="17">
        <v>190</v>
      </c>
      <c r="O18" s="45">
        <f t="shared" si="4"/>
        <v>100</v>
      </c>
      <c r="P18" s="45">
        <f t="shared" si="5"/>
        <v>101.08695652173913</v>
      </c>
      <c r="Q18" s="45">
        <f t="shared" si="6"/>
        <v>102.17391304347827</v>
      </c>
      <c r="R18" s="45">
        <f t="shared" si="7"/>
        <v>103.26086956521739</v>
      </c>
    </row>
    <row r="19" spans="1:18" ht="81">
      <c r="A19" s="30" t="s">
        <v>67</v>
      </c>
      <c r="B19" s="5" t="s">
        <v>27</v>
      </c>
      <c r="C19" s="5" t="s">
        <v>28</v>
      </c>
      <c r="D19" s="5" t="s">
        <v>68</v>
      </c>
      <c r="E19" s="5" t="s">
        <v>14</v>
      </c>
      <c r="F19" s="5" t="s">
        <v>58</v>
      </c>
      <c r="G19" s="6"/>
      <c r="H19" s="6">
        <v>3</v>
      </c>
      <c r="I19" s="6">
        <v>3</v>
      </c>
      <c r="J19" s="6">
        <v>3</v>
      </c>
      <c r="K19" s="21">
        <v>3</v>
      </c>
      <c r="L19" s="20">
        <v>4</v>
      </c>
      <c r="M19" s="17">
        <v>5</v>
      </c>
      <c r="N19" s="17">
        <v>6</v>
      </c>
      <c r="O19" s="45">
        <f t="shared" si="4"/>
        <v>100</v>
      </c>
      <c r="P19" s="45">
        <f t="shared" si="5"/>
        <v>133.33333333333331</v>
      </c>
      <c r="Q19" s="45">
        <f t="shared" si="6"/>
        <v>166.66666666666666</v>
      </c>
      <c r="R19" s="45">
        <f t="shared" si="7"/>
        <v>200</v>
      </c>
    </row>
    <row r="20" spans="1:18" ht="54">
      <c r="A20" s="30" t="s">
        <v>69</v>
      </c>
      <c r="B20" s="5" t="s">
        <v>27</v>
      </c>
      <c r="C20" s="5" t="s">
        <v>32</v>
      </c>
      <c r="D20" s="5" t="s">
        <v>70</v>
      </c>
      <c r="E20" s="5" t="s">
        <v>14</v>
      </c>
      <c r="F20" s="5" t="s">
        <v>71</v>
      </c>
      <c r="G20" s="7">
        <v>1.4999999999999999E-2</v>
      </c>
      <c r="H20" s="11">
        <v>1.4999999999999999E-2</v>
      </c>
      <c r="I20" s="11">
        <v>1.4999999999999999E-2</v>
      </c>
      <c r="J20" s="11">
        <v>1.4999999999999999E-2</v>
      </c>
      <c r="K20" s="22">
        <f>J20</f>
        <v>1.4999999999999999E-2</v>
      </c>
      <c r="L20" s="9">
        <v>1.6E-2</v>
      </c>
      <c r="M20" s="9">
        <v>1.7000000000000001E-2</v>
      </c>
      <c r="N20" s="47">
        <v>1.8000000000000002E-2</v>
      </c>
      <c r="O20" s="45">
        <f t="shared" si="4"/>
        <v>100</v>
      </c>
      <c r="P20" s="45">
        <f t="shared" si="5"/>
        <v>106.66666666666667</v>
      </c>
      <c r="Q20" s="45">
        <f t="shared" si="6"/>
        <v>113.33333333333334</v>
      </c>
      <c r="R20" s="45">
        <f t="shared" si="7"/>
        <v>120.00000000000001</v>
      </c>
    </row>
    <row r="21" spans="1:18" ht="13.5">
      <c r="N21" s="33" t="s">
        <v>114</v>
      </c>
      <c r="O21" s="46">
        <f>AVERAGE(O3:O20)</f>
        <v>100</v>
      </c>
      <c r="P21" s="45">
        <f>AVERAGE(P3:P20)</f>
        <v>107.04525531080091</v>
      </c>
      <c r="Q21" s="45">
        <f>AVERAGE(Q3:Q20)</f>
        <v>114.10547029627689</v>
      </c>
      <c r="R21" s="45">
        <f>AVERAGE(R3:R20)</f>
        <v>121.04358515965269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scale="48" firstPageNumber="0" orientation="landscape" horizontalDpi="300" verticalDpi="300" r:id="rId1"/>
  <headerFooter alignWithMargins="0">
    <oddHeader>&amp;C&amp;"Times New Roman,Normale"&amp;12&amp;A</oddHeader>
    <oddFooter>&amp;C&amp;"Times New Roman,Normale"&amp;12Pagina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BFF5-DD20-4284-A13F-C89E73B61681}">
  <dimension ref="A1:S6"/>
  <sheetViews>
    <sheetView topLeftCell="E1" workbookViewId="0">
      <selection activeCell="P2" sqref="P2"/>
    </sheetView>
  </sheetViews>
  <sheetFormatPr defaultColWidth="11.453125" defaultRowHeight="12.5"/>
  <cols>
    <col min="1" max="1" width="16.7265625" customWidth="1"/>
    <col min="2" max="2" width="20.90625" customWidth="1"/>
    <col min="3" max="3" width="28.26953125" customWidth="1"/>
    <col min="4" max="4" width="16.36328125" customWidth="1"/>
    <col min="5" max="5" width="23.81640625" customWidth="1"/>
    <col min="6" max="6" width="16.1796875" customWidth="1"/>
    <col min="7" max="7" width="16.08984375" hidden="1" customWidth="1"/>
    <col min="8" max="8" width="19.26953125" hidden="1" customWidth="1"/>
    <col min="9" max="9" width="15.453125" hidden="1" customWidth="1"/>
    <col min="10" max="10" width="16" hidden="1" customWidth="1"/>
    <col min="11" max="11" width="16.453125" hidden="1" customWidth="1"/>
    <col min="12" max="12" width="13.7265625" customWidth="1"/>
    <col min="15" max="15" width="15" bestFit="1" customWidth="1"/>
  </cols>
  <sheetData>
    <row r="1" spans="1:19" ht="4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72</v>
      </c>
      <c r="L1" s="3" t="s">
        <v>9</v>
      </c>
      <c r="M1" s="4">
        <v>2026</v>
      </c>
      <c r="N1" s="4">
        <v>2027</v>
      </c>
      <c r="O1" s="4">
        <v>2028</v>
      </c>
      <c r="P1" s="52" t="s">
        <v>9</v>
      </c>
      <c r="Q1" s="53" t="s">
        <v>111</v>
      </c>
      <c r="R1" s="53">
        <v>2027</v>
      </c>
      <c r="S1" s="53">
        <v>2028</v>
      </c>
    </row>
    <row r="2" spans="1:19" ht="81">
      <c r="A2" s="2" t="s">
        <v>73</v>
      </c>
      <c r="B2" s="5" t="s">
        <v>74</v>
      </c>
      <c r="C2" s="5" t="s">
        <v>75</v>
      </c>
      <c r="D2" s="5" t="s">
        <v>76</v>
      </c>
      <c r="E2" s="5" t="s">
        <v>18</v>
      </c>
      <c r="F2" s="5" t="s">
        <v>77</v>
      </c>
      <c r="G2" s="24"/>
      <c r="H2" s="26">
        <f>583061.62/2576</f>
        <v>226.34379658385092</v>
      </c>
      <c r="I2" s="26">
        <f>637495.82/2576</f>
        <v>247.47508540372669</v>
      </c>
      <c r="J2" s="26">
        <f>609981.31/2576</f>
        <v>236.79398680124226</v>
      </c>
      <c r="K2" s="24"/>
      <c r="L2" s="27">
        <f>J2</f>
        <v>236.79398680124226</v>
      </c>
      <c r="M2" s="17">
        <v>234</v>
      </c>
      <c r="N2" s="17">
        <v>232</v>
      </c>
      <c r="O2" s="50">
        <v>230</v>
      </c>
      <c r="P2" s="34">
        <f>(L2-$L2)/$L2*(-100)+100</f>
        <v>100</v>
      </c>
      <c r="Q2" s="34">
        <f>(M2-$L2)/$L2*(-100)+100</f>
        <v>101.17992303731405</v>
      </c>
      <c r="R2" s="34">
        <f>(N2-$L2)/$L2*(-100)+100</f>
        <v>102.02453907973018</v>
      </c>
      <c r="S2" s="34">
        <f>(O2-$L2)/$L2*(-100)+100</f>
        <v>102.8691551221463</v>
      </c>
    </row>
    <row r="3" spans="1:19" ht="104.5" customHeight="1">
      <c r="A3" s="2" t="s">
        <v>78</v>
      </c>
      <c r="B3" s="5" t="s">
        <v>74</v>
      </c>
      <c r="C3" s="5" t="s">
        <v>79</v>
      </c>
      <c r="D3" s="5" t="s">
        <v>80</v>
      </c>
      <c r="E3" s="5" t="s">
        <v>14</v>
      </c>
      <c r="F3" s="5" t="s">
        <v>43</v>
      </c>
      <c r="G3" s="24"/>
      <c r="H3" s="7">
        <v>1</v>
      </c>
      <c r="I3" s="7">
        <v>1</v>
      </c>
      <c r="J3" s="7">
        <v>1</v>
      </c>
      <c r="K3" s="7">
        <v>1</v>
      </c>
      <c r="L3" s="12">
        <f>J3</f>
        <v>1</v>
      </c>
      <c r="M3" s="9">
        <v>1</v>
      </c>
      <c r="N3" s="9">
        <v>1</v>
      </c>
      <c r="O3" s="51">
        <v>1</v>
      </c>
      <c r="P3" s="34">
        <f t="shared" ref="P3:S5" si="0">(L3-$L3)/$L3*(100)+100</f>
        <v>100</v>
      </c>
      <c r="Q3" s="34">
        <f t="shared" si="0"/>
        <v>100</v>
      </c>
      <c r="R3" s="34">
        <f t="shared" si="0"/>
        <v>100</v>
      </c>
      <c r="S3" s="34">
        <f t="shared" si="0"/>
        <v>100</v>
      </c>
    </row>
    <row r="4" spans="1:19" ht="123.15" customHeight="1">
      <c r="A4" s="2" t="s">
        <v>81</v>
      </c>
      <c r="B4" s="5" t="s">
        <v>74</v>
      </c>
      <c r="C4" s="5" t="s">
        <v>82</v>
      </c>
      <c r="D4" s="5" t="s">
        <v>83</v>
      </c>
      <c r="E4" s="5" t="s">
        <v>14</v>
      </c>
      <c r="F4" s="5" t="s">
        <v>84</v>
      </c>
      <c r="G4" s="24"/>
      <c r="H4" s="24"/>
      <c r="I4" s="6">
        <v>18</v>
      </c>
      <c r="J4" s="6">
        <v>25</v>
      </c>
      <c r="K4" s="25">
        <v>25.55</v>
      </c>
      <c r="L4" s="27">
        <f>J4</f>
        <v>25</v>
      </c>
      <c r="M4" s="17">
        <v>26</v>
      </c>
      <c r="N4" s="17">
        <v>28</v>
      </c>
      <c r="O4" s="50">
        <v>30</v>
      </c>
      <c r="P4" s="34">
        <f t="shared" si="0"/>
        <v>100</v>
      </c>
      <c r="Q4" s="34">
        <f t="shared" si="0"/>
        <v>104</v>
      </c>
      <c r="R4" s="34">
        <f t="shared" si="0"/>
        <v>112</v>
      </c>
      <c r="S4" s="34">
        <f t="shared" si="0"/>
        <v>120</v>
      </c>
    </row>
    <row r="5" spans="1:19" ht="118.15" customHeight="1">
      <c r="A5" s="2" t="s">
        <v>85</v>
      </c>
      <c r="B5" s="5" t="s">
        <v>74</v>
      </c>
      <c r="C5" s="5" t="s">
        <v>79</v>
      </c>
      <c r="D5" s="5" t="s">
        <v>86</v>
      </c>
      <c r="E5" s="5" t="s">
        <v>14</v>
      </c>
      <c r="F5" s="5" t="s">
        <v>58</v>
      </c>
      <c r="G5" s="7">
        <v>1</v>
      </c>
      <c r="H5" s="7">
        <v>1</v>
      </c>
      <c r="I5" s="7">
        <v>0.8</v>
      </c>
      <c r="J5" s="7">
        <v>0.996</v>
      </c>
      <c r="K5" s="7">
        <v>1</v>
      </c>
      <c r="L5" s="12">
        <f>J5</f>
        <v>0.996</v>
      </c>
      <c r="M5" s="9">
        <v>1</v>
      </c>
      <c r="N5" s="9">
        <v>1</v>
      </c>
      <c r="O5" s="54">
        <v>1</v>
      </c>
      <c r="P5" s="34">
        <f t="shared" si="0"/>
        <v>100</v>
      </c>
      <c r="Q5" s="34">
        <f t="shared" si="0"/>
        <v>100.40160642570281</v>
      </c>
      <c r="R5" s="34">
        <f t="shared" si="0"/>
        <v>100.40160642570281</v>
      </c>
      <c r="S5" s="34">
        <f t="shared" si="0"/>
        <v>100.40160642570281</v>
      </c>
    </row>
    <row r="6" spans="1:19" ht="13">
      <c r="A6" s="13"/>
      <c r="B6" s="13"/>
      <c r="C6" s="13"/>
      <c r="D6" s="13"/>
      <c r="E6" s="13"/>
      <c r="O6" s="32" t="s">
        <v>115</v>
      </c>
      <c r="P6" s="31">
        <f>AVERAGE(P2:P5)</f>
        <v>100</v>
      </c>
      <c r="Q6" s="31">
        <f>AVERAGE(Q2:Q5)</f>
        <v>101.39538236575422</v>
      </c>
      <c r="R6" s="31">
        <f>AVERAGE(R2:R5)</f>
        <v>103.60653637635825</v>
      </c>
      <c r="S6" s="31">
        <f>AVERAGE(S2:S5)</f>
        <v>105.81769038696228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scale="63" firstPageNumber="0" orientation="landscape" horizontalDpi="300" verticalDpi="300" r:id="rId1"/>
  <headerFooter alignWithMargins="0">
    <oddHeader>&amp;C&amp;"Times New Roman,Normale"&amp;12&amp;A</oddHeader>
    <oddFooter>&amp;C&amp;"Times New Roman,Normale"&amp;12Pagina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0572-01B3-4506-98F1-6C71BBB88077}">
  <dimension ref="B1:J10"/>
  <sheetViews>
    <sheetView workbookViewId="0">
      <selection activeCell="H7" sqref="H7"/>
    </sheetView>
  </sheetViews>
  <sheetFormatPr defaultRowHeight="12.5"/>
  <cols>
    <col min="2" max="2" width="18.54296875" bestFit="1" customWidth="1"/>
    <col min="3" max="3" width="12.6328125" bestFit="1" customWidth="1"/>
    <col min="4" max="6" width="11" bestFit="1" customWidth="1"/>
    <col min="8" max="8" width="10.08984375" bestFit="1" customWidth="1"/>
    <col min="9" max="9" width="10.1796875" bestFit="1" customWidth="1"/>
    <col min="10" max="10" width="11.81640625" bestFit="1" customWidth="1"/>
  </cols>
  <sheetData>
    <row r="1" spans="2:10" ht="13">
      <c r="B1" s="32" t="s">
        <v>102</v>
      </c>
      <c r="C1" s="35" t="s">
        <v>107</v>
      </c>
      <c r="D1" s="35" t="s">
        <v>108</v>
      </c>
      <c r="E1" s="35" t="s">
        <v>109</v>
      </c>
      <c r="F1" s="35" t="s">
        <v>110</v>
      </c>
      <c r="H1" s="35" t="s">
        <v>116</v>
      </c>
      <c r="I1" s="35" t="s">
        <v>117</v>
      </c>
      <c r="J1" s="35" t="s">
        <v>118</v>
      </c>
    </row>
    <row r="2" spans="2:10" ht="13">
      <c r="B2" s="36" t="s">
        <v>98</v>
      </c>
      <c r="C2" s="38">
        <f>IMPATTO!O5</f>
        <v>100</v>
      </c>
      <c r="D2" s="31">
        <f>IMPATTO!P5</f>
        <v>101.82751322751324</v>
      </c>
      <c r="E2" s="31">
        <f>IMPATTO!Q5</f>
        <v>103.85978835978837</v>
      </c>
      <c r="F2" s="31">
        <f>IMPATTO!R5</f>
        <v>105.89206349206351</v>
      </c>
      <c r="H2" s="55">
        <f>3/25</f>
        <v>0.12</v>
      </c>
      <c r="I2" s="55">
        <v>0.25</v>
      </c>
      <c r="J2" s="55">
        <v>0.5</v>
      </c>
    </row>
    <row r="3" spans="2:10" ht="13">
      <c r="B3" s="36" t="s">
        <v>99</v>
      </c>
      <c r="C3" s="38">
        <f>PERFORMANCE!O21</f>
        <v>100</v>
      </c>
      <c r="D3" s="38">
        <f>PERFORMANCE!P21</f>
        <v>107.04525531080091</v>
      </c>
      <c r="E3" s="38">
        <f>PERFORMANCE!Q21</f>
        <v>114.10547029627689</v>
      </c>
      <c r="F3" s="38">
        <f>PERFORMANCE!R21</f>
        <v>121.04358515965269</v>
      </c>
      <c r="H3" s="55">
        <f>18/25</f>
        <v>0.72</v>
      </c>
      <c r="I3" s="55">
        <v>0.5</v>
      </c>
      <c r="J3" s="55">
        <f>2/6</f>
        <v>0.33333333333333331</v>
      </c>
    </row>
    <row r="4" spans="2:10" ht="13">
      <c r="B4" s="36" t="s">
        <v>100</v>
      </c>
      <c r="C4" s="38">
        <f>'SALUTE AMMINISTRATIVA'!P6</f>
        <v>100</v>
      </c>
      <c r="D4" s="31">
        <f>'SALUTE AMMINISTRATIVA'!Q6</f>
        <v>101.39538236575422</v>
      </c>
      <c r="E4" s="31">
        <f>'SALUTE AMMINISTRATIVA'!R6</f>
        <v>103.60653637635825</v>
      </c>
      <c r="F4" s="31">
        <f>'SALUTE AMMINISTRATIVA'!S6</f>
        <v>105.81769038696228</v>
      </c>
      <c r="H4" s="55">
        <f>4/25</f>
        <v>0.16</v>
      </c>
      <c r="I4" s="55">
        <v>0.25</v>
      </c>
      <c r="J4" s="55">
        <f>1/6</f>
        <v>0.16666666666666666</v>
      </c>
    </row>
    <row r="5" spans="2:10" ht="13">
      <c r="B5" s="32" t="s">
        <v>103</v>
      </c>
      <c r="C5" s="35">
        <v>2025</v>
      </c>
      <c r="D5" s="35">
        <v>2026</v>
      </c>
      <c r="E5" s="35">
        <v>2027</v>
      </c>
      <c r="F5" s="35">
        <v>2028</v>
      </c>
    </row>
    <row r="6" spans="2:10" ht="13">
      <c r="B6" s="37" t="s">
        <v>97</v>
      </c>
      <c r="C6" s="38">
        <f>AVERAGE(C2:C4)</f>
        <v>100</v>
      </c>
      <c r="D6" s="31">
        <f>AVERAGE(D2:D4)</f>
        <v>103.42271696802278</v>
      </c>
      <c r="E6" s="31">
        <f>AVERAGE(E2:E4)</f>
        <v>107.19059834414116</v>
      </c>
      <c r="F6" s="31">
        <f>AVERAGE(F2:F4)</f>
        <v>110.9177796795595</v>
      </c>
    </row>
    <row r="7" spans="2:10" ht="13">
      <c r="B7" s="37" t="s">
        <v>101</v>
      </c>
      <c r="C7" s="38">
        <f>GEOMEAN(C2:C4)</f>
        <v>100</v>
      </c>
      <c r="D7" s="31">
        <f>GEOMEAN(D2:D4)</f>
        <v>103.391200759881</v>
      </c>
      <c r="E7" s="31">
        <f>GEOMEAN(E2:E4)</f>
        <v>107.08131222711454</v>
      </c>
      <c r="F7" s="31">
        <f>GEOMEAN(F2:F4)</f>
        <v>110.69325441611545</v>
      </c>
    </row>
    <row r="8" spans="2:10" ht="13">
      <c r="B8" s="37" t="s">
        <v>104</v>
      </c>
      <c r="C8" s="38">
        <f>SUMPRODUCT(C2:C4,$H$2:$H$4)</f>
        <v>100</v>
      </c>
      <c r="D8" s="31">
        <f>SUMPRODUCT(D2:D4,$H$2:$H$4)</f>
        <v>105.51514658959891</v>
      </c>
      <c r="E8" s="31">
        <f>SUMPRODUCT(E2:E4,$H$2:$H$4)</f>
        <v>111.19615903671129</v>
      </c>
      <c r="F8" s="31">
        <f>SUMPRODUCT(F2:F4,$H$2:$H$4)</f>
        <v>116.78925939591151</v>
      </c>
    </row>
    <row r="9" spans="2:10" ht="13">
      <c r="B9" s="37" t="s">
        <v>105</v>
      </c>
      <c r="C9" s="38">
        <f>SUMPRODUCT(C2:C4,$I$2:$I$4)</f>
        <v>100</v>
      </c>
      <c r="D9" s="31">
        <f>SUMPRODUCT(D2:D4,$I$2:$I$4)</f>
        <v>104.32835155371731</v>
      </c>
      <c r="E9" s="31">
        <f>SUMPRODUCT(E2:E4,$I$2:$I$4)</f>
        <v>108.9193163321751</v>
      </c>
      <c r="F9" s="31">
        <f>SUMPRODUCT(F2:F4,$I$2:$I$4)</f>
        <v>113.44923104958279</v>
      </c>
    </row>
    <row r="10" spans="2:10" ht="13">
      <c r="B10" s="37" t="s">
        <v>106</v>
      </c>
      <c r="C10" s="31">
        <f>SUMPRODUCT(C2:C4,$J$2:$J$4)</f>
        <v>100</v>
      </c>
      <c r="D10" s="31">
        <f>SUMPRODUCT(D2:D4,$J$2:$J$4)</f>
        <v>103.49473877831596</v>
      </c>
      <c r="E10" s="31">
        <f>SUMPRODUCT(E2:E4,$J$2:$J$4)</f>
        <v>107.23280700804618</v>
      </c>
      <c r="F10" s="31">
        <f>SUMPRODUCT(F2:F4,$J$2:$J$4)</f>
        <v>110.93017519707637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IMPATTO</vt:lpstr>
      <vt:lpstr>PERFORMANCE</vt:lpstr>
      <vt:lpstr>SALUTE AMMINISTRATIVA</vt:lpstr>
      <vt:lpstr>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Ievoli Riccardo</cp:lastModifiedBy>
  <dcterms:created xsi:type="dcterms:W3CDTF">2026-02-24T23:15:06Z</dcterms:created>
  <dcterms:modified xsi:type="dcterms:W3CDTF">2026-02-25T08:14:30Z</dcterms:modified>
</cp:coreProperties>
</file>